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hidePivotFieldList="1" defaultThemeVersion="166925"/>
  <mc:AlternateContent xmlns:mc="http://schemas.openxmlformats.org/markup-compatibility/2006">
    <mc:Choice Requires="x15">
      <x15ac:absPath xmlns:x15ac="http://schemas.microsoft.com/office/spreadsheetml/2010/11/ac" url="/Users/priyankavithani/Documents/Npower/Data-Visualization-and-Dashboards-with-Excel-and-Cognos/"/>
    </mc:Choice>
  </mc:AlternateContent>
  <xr:revisionPtr revIDLastSave="0" documentId="8_{898DEEA8-6714-704D-AC97-2029BAEB8C20}" xr6:coauthVersionLast="47" xr6:coauthVersionMax="47" xr10:uidLastSave="{00000000-0000-0000-0000-000000000000}"/>
  <bookViews>
    <workbookView xWindow="0" yWindow="0" windowWidth="28800" windowHeight="18000" activeTab="3" xr2:uid="{00000000-000D-0000-FFFF-FFFF00000000}"/>
  </bookViews>
  <sheets>
    <sheet name="Car_sales" sheetId="1" r:id="rId1"/>
    <sheet name="Bar Chart" sheetId="2" r:id="rId2"/>
    <sheet name="Column, Pie, Sunburst Chart" sheetId="3" r:id="rId3"/>
    <sheet name="Dashboard" sheetId="5"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_xlchart.v1.4" hidden="1">'Column, Pie, Sunburst Chart'!$B$2:$B$156</definedName>
    <definedName name="_xlchart.v1.5" hidden="1">'Column, Pie, Sunburst Chart'!$C$2:$C$156</definedName>
    <definedName name="Slicer_Manufacturer">#N/A</definedName>
    <definedName name="Slicer_Model">#N/A</definedName>
  </definedNames>
  <calcPr calcId="191028"/>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<sst xmlns="http://schemas.openxmlformats.org/spreadsheetml/2006/main" count="977" uniqueCount="209">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</sst>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116">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68"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6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18B8-8D4A-9383-EC04E6A62BF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3B7-DE45-A329-E27F5FC9B8D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3B7-DE45-A329-E27F5FC9B8D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3B7-DE45-A329-E27F5FC9B8DF}"/>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3B7-DE45-A329-E27F5FC9B8DF}"/>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53B7-DE45-A329-E27F5FC9B8DF}"/>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53B7-DE45-A329-E27F5FC9B8D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C-53B7-DE45-A329-E27F5FC9B8DF}"/>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effectLst/>
              </a:rPr>
              <a:t>Average Price and Year Resale Value of German Car Models</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AFD0-274E-A39D-2F4903390681}"/>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AFD0-274E-A39D-2F4903390681}"/>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174</xdr:row>
      <xdr:rowOff>0</xdr:rowOff>
    </xdr:from>
    <xdr:to>
      <xdr:col>8</xdr:col>
      <xdr:colOff>587375</xdr:colOff>
      <xdr:row>187</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09725" y="4956175"/>
              <a:ext cx="47625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16</xdr:row>
      <xdr:rowOff>38100</xdr:rowOff>
    </xdr:from>
    <xdr:to>
      <xdr:col>5</xdr:col>
      <xdr:colOff>635000</xdr:colOff>
      <xdr:row>31</xdr:row>
      <xdr:rowOff>50800</xdr:rowOff>
    </xdr:to>
    <xdr:graphicFrame macro="">
      <xdr:nvGraphicFramePr>
        <xdr:cNvPr id="2" name="Chart 1">
          <a:extLst>
            <a:ext uri="{FF2B5EF4-FFF2-40B4-BE49-F238E27FC236}">
              <a16:creationId xmlns:a16="http://schemas.microsoft.com/office/drawing/2014/main" id="{1B2DFE6A-EE85-3E43-BF75-2CCFA9A1DBA2}"/>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596900</xdr:colOff>
      <xdr:row>0</xdr:row>
      <xdr:rowOff>0</xdr:rowOff>
    </xdr:from>
    <xdr:to>
      <xdr:col>16</xdr:col>
      <xdr:colOff>495300</xdr:colOff>
      <xdr:row>16</xdr:row>
      <xdr:rowOff>38100</xdr:rowOff>
    </xdr:to>
    <xdr:graphicFrame macro="">
      <xdr:nvGraphicFramePr>
        <xdr:cNvPr id="3" name="Chart 2">
          <a:extLst>
            <a:ext uri="{FF2B5EF4-FFF2-40B4-BE49-F238E27FC236}">
              <a16:creationId xmlns:a16="http://schemas.microsoft.com/office/drawing/2014/main" id="{75CABB26-ADDA-4F4E-A1DE-058C50CCEE6D}"/>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635000</xdr:colOff>
      <xdr:row>16</xdr:row>
      <xdr:rowOff>25400</xdr:rowOff>
    </xdr:from>
    <xdr:to>
      <xdr:col>11</xdr:col>
      <xdr:colOff>444500</xdr:colOff>
      <xdr:row>31</xdr:row>
      <xdr:rowOff>25400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D25AD82-D1E6-BD43-BBDF-171A46DA5B69}"/>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762500" y="3073400"/>
              <a:ext cx="4762500" cy="28575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xdr:colOff>
      <xdr:row>0</xdr:row>
      <xdr:rowOff>1</xdr:rowOff>
    </xdr:from>
    <xdr:to>
      <xdr:col>8</xdr:col>
      <xdr:colOff>419100</xdr:colOff>
      <xdr:row>16</xdr:row>
      <xdr:rowOff>25400</xdr:rowOff>
    </xdr:to>
    <xdr:graphicFrame macro="">
      <xdr:nvGraphicFramePr>
        <xdr:cNvPr id="6" name="Chart 5">
          <a:extLst>
            <a:ext uri="{FF2B5EF4-FFF2-40B4-BE49-F238E27FC236}">
              <a16:creationId xmlns:a16="http://schemas.microsoft.com/office/drawing/2014/main" id="{2D925D14-2E1E-9A44-AC47-D82969A28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419100</xdr:colOff>
      <xdr:row>0</xdr:row>
      <xdr:rowOff>0</xdr:rowOff>
    </xdr:from>
    <xdr:to>
      <xdr:col>10</xdr:col>
      <xdr:colOff>596900</xdr:colOff>
      <xdr:row>16</xdr:row>
      <xdr:rowOff>38100</xdr:rowOff>
    </xdr:to>
    <mc:AlternateContent xmlns:mc="http://schemas.openxmlformats.org/markup-compatibility/2006">
      <mc:Choice xmlns:a14="http://schemas.microsoft.com/office/drawing/2010/main" Requires="a14">
        <xdr:graphicFrame macro="">
          <xdr:nvGraphicFramePr>
            <xdr:cNvPr id="7" name="Manufacturer 1">
              <a:extLst>
                <a:ext uri="{FF2B5EF4-FFF2-40B4-BE49-F238E27FC236}">
                  <a16:creationId xmlns:a16="http://schemas.microsoft.com/office/drawing/2014/main" id="{80CF1DBE-78C2-9446-A11D-ABC266BF658F}"/>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7023100" y="0"/>
              <a:ext cx="1828800" cy="3086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444500</xdr:colOff>
      <xdr:row>16</xdr:row>
      <xdr:rowOff>38100</xdr:rowOff>
    </xdr:from>
    <xdr:to>
      <xdr:col>15</xdr:col>
      <xdr:colOff>203200</xdr:colOff>
      <xdr:row>31</xdr:row>
      <xdr:rowOff>38100</xdr:rowOff>
    </xdr:to>
    <mc:AlternateContent xmlns:mc="http://schemas.openxmlformats.org/markup-compatibility/2006">
      <mc:Choice xmlns:sle15="http://schemas.microsoft.com/office/drawing/2012/slicer" Requires="sle15">
        <xdr:graphicFrame macro="">
          <xdr:nvGraphicFramePr>
            <xdr:cNvPr id="8" name="Model 1">
              <a:extLst>
                <a:ext uri="{FF2B5EF4-FFF2-40B4-BE49-F238E27FC236}">
                  <a16:creationId xmlns:a16="http://schemas.microsoft.com/office/drawing/2014/main" id="{D7EA71E4-99B6-DD43-B7C7-133A8577C098}"/>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9525000" y="3086100"/>
              <a:ext cx="3060700" cy="2857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1">
  <location ref="A3:C9"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sd="0" x="1"/>
        <item sd="0" x="2"/>
        <item h="1" sd="0" x="3"/>
        <item h="1" sd="0" x="4"/>
        <item h="1" sd="0" x="5"/>
        <item h="1" sd="0" x="6"/>
        <item h="1" sd="0" x="7"/>
        <item h="1" sd="0" x="8"/>
        <item h="1" sd="0" x="9"/>
        <item h="1" sd="0" x="10"/>
        <item h="1" sd="0" x="11"/>
        <item h="1" sd="0" x="12"/>
        <item h="1" sd="0" x="13"/>
        <item h="1" sd="0" x="14"/>
        <item h="1" sd="0" x="15"/>
        <item sd="0" x="18"/>
        <item h="1" sd="0" x="17"/>
        <item h="1" sd="0" x="16"/>
        <item h="1" sd="0" x="19"/>
        <item h="1" sd="0" x="20"/>
        <item h="1" sd="0" x="21"/>
        <item h="1" sd="0" x="22"/>
        <item sd="0" x="23"/>
        <item h="1" sd="0" x="24"/>
        <item h="1" sd="0" x="25"/>
        <item h="1" sd="0" x="26"/>
        <item h="1" x="27"/>
        <item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6">
    <i>
      <x v="1"/>
    </i>
    <i>
      <x v="2"/>
    </i>
    <i>
      <x v="16"/>
    </i>
    <i>
      <x v="23"/>
    </i>
    <i>
      <x v="2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95">
      <pivotArea outline="0" collapsedLevelsAreSubtotals="1" fieldPosition="0">
        <references count="1">
          <reference field="4294967294" count="1" selected="0">
            <x v="0"/>
          </reference>
        </references>
      </pivotArea>
    </format>
    <format dxfId="94">
      <pivotArea dataOnly="0" labelOnly="1" outline="0" fieldPosition="0">
        <references count="1">
          <reference field="4294967294" count="1">
            <x v="0"/>
          </reference>
        </references>
      </pivotArea>
    </format>
    <format dxfId="93">
      <pivotArea outline="0" collapsedLevelsAreSubtotals="1" fieldPosition="0">
        <references count="1">
          <reference field="4294967294" count="1" selected="0">
            <x v="1"/>
          </reference>
        </references>
      </pivotArea>
    </format>
    <format dxfId="92">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s="1"/>
        <i x="2" s="1"/>
        <i x="3"/>
        <i x="4"/>
        <i x="5"/>
        <i x="6"/>
        <i x="7"/>
        <i x="8"/>
        <i x="9"/>
        <i x="10"/>
        <i x="11"/>
        <i x="12"/>
        <i x="13"/>
        <i x="14"/>
        <i x="15"/>
        <i x="18" s="1"/>
        <i x="17"/>
        <i x="16"/>
        <i x="19"/>
        <i x="20"/>
        <i x="21"/>
        <i x="22"/>
        <i x="23" s="1"/>
        <i x="24"/>
        <i x="25"/>
        <i x="26"/>
        <i x="27"/>
        <i x="28"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DD6FC8EE-076E-AA41-A689-A7B854706687}" cache="Slicer_Manufacturer" caption="Manufacturer" startItem="20"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98680FB6-8E1A-B642-8D2A-AD8C53F2C9A6}"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115" headerRowCellStyle="60% - Accent1">
  <autoFilter ref="A1:S156" xr:uid="{142A1155-8F99-4580-8274-3FFCD265F860}"/>
  <tableColumns count="19">
    <tableColumn id="2" xr3:uid="{0090DD31-AAEF-418B-A6D5-5A47F973884A}" name="Manufacturer" dataDxfId="114" dataCellStyle="60% - Accent2"/>
    <tableColumn id="1" xr3:uid="{1D457C4B-D2B8-4760-9FBD-20980339C812}" name="Model" dataDxfId="113" dataCellStyle="60% - Accent6"/>
    <tableColumn id="4" xr3:uid="{8522711B-6353-4D72-9921-4036DEB24699}" name="Unit Sales" dataDxfId="112"/>
    <tableColumn id="5" xr3:uid="{3F2EFF05-CEC1-43C4-8457-EC0A04BFE37D}" name="Price" dataDxfId="111"/>
    <tableColumn id="6" xr3:uid="{D0C7E9A3-6A78-4834-995F-71A07F7E5FEC}" name="Year Resale Value" dataDxfId="110"/>
    <tableColumn id="7" xr3:uid="{2892AE5C-2583-41F9-9297-9EA4C2895B5F}" name="Retention %" dataDxfId="109">
      <calculatedColumnFormula>SUM(E2/D2)</calculatedColumnFormula>
    </tableColumn>
    <tableColumn id="8" xr3:uid="{40A7E790-705B-474C-BD5E-B93CFDEAAD37}" name="Retention Value" dataDxfId="108">
      <calculatedColumnFormula>IF(F2&gt;69%, "GOOD", "POOR")</calculatedColumnFormula>
    </tableColumn>
    <tableColumn id="9" xr3:uid="{9FD1D782-0EB9-4AC8-9FB6-1F5437BC6100}" name="Engine Size" dataDxfId="107"/>
    <tableColumn id="10" xr3:uid="{97F7DE8D-9589-426B-AA4F-2E3F8BB7A81B}" name="Horsepower" dataDxfId="106"/>
    <tableColumn id="11" xr3:uid="{4CB9C68E-A6F1-497A-9877-E41495059145}" name="HP Level" dataDxfId="105">
      <calculatedColumnFormula array="1">_xlfn.IFS(I2&gt;299,"High HP",I2&gt;99,"Medium HP",I2&lt;100,"Low HP")</calculatedColumnFormula>
    </tableColumn>
    <tableColumn id="3" xr3:uid="{3733B2DD-D65D-439A-9EC2-28F65DC369D7}" name="Vehicle_type" dataDxfId="104"/>
    <tableColumn id="17" xr3:uid="{5136D0F0-2F8F-4D70-995F-CE39B1996127}" name="Fuel Efficiency" dataDxfId="103"/>
    <tableColumn id="19" xr3:uid="{5F133F36-F1C6-453A-A10C-A9917A623804}" name="Power Perf Factor" dataDxfId="102"/>
    <tableColumn id="12" xr3:uid="{6E551230-1170-40DA-8649-BDDA922271D8}" name="Wheelbase" dataDxfId="101"/>
    <tableColumn id="13" xr3:uid="{53A36FF3-E823-43B4-958B-9E02EC2B56F7}" name="Width" dataDxfId="100"/>
    <tableColumn id="14" xr3:uid="{0728B768-EB40-4E54-9F8B-8FC310D3272C}" name="Length" dataDxfId="99"/>
    <tableColumn id="15" xr3:uid="{2264EB11-0818-4B2A-A027-42B066FA9869}" name="Curb Weight" dataDxfId="98"/>
    <tableColumn id="16" xr3:uid="{58B24934-BE7E-4FBD-9F96-CEF0725C6117}" name="Fuel Capacity" dataDxfId="97"/>
    <tableColumn id="18" xr3:uid="{00FF364F-DDBE-4E2C-8F3E-DBDA321FA22A}" name="Latest Launch" dataDxfId="96"/>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91" headerRowCellStyle="60% - Accent1">
  <autoFilter ref="A1:S156" xr:uid="{142A1155-8F99-4580-8274-3FFCD265F860}">
    <filterColumn colId="0">
      <filters>
        <filter val="Toyota"/>
      </filters>
    </filterColumn>
  </autoFilter>
  <sortState xmlns:xlrd2="http://schemas.microsoft.com/office/spreadsheetml/2017/richdata2" ref="A2:N156">
    <sortCondition ref="B1:B156"/>
  </sortState>
  <tableColumns count="19">
    <tableColumn id="2" xr3:uid="{CCFD9DCD-33DA-4C1C-B39D-1F8C0CA940C0}" name="Manufacturer" dataDxfId="90" dataCellStyle="60% - Accent2"/>
    <tableColumn id="1" xr3:uid="{91732ACF-B59B-4736-A06E-BE7ADB4669C2}" name="Model" dataDxfId="89" dataCellStyle="60% - Accent6"/>
    <tableColumn id="4" xr3:uid="{AC38EB39-9FE7-4815-9A95-BD4739621249}" name="Unit Sales" dataDxfId="88"/>
    <tableColumn id="5" xr3:uid="{48155666-2FFE-4435-98FA-77A71F62A4CD}" name="Price" dataDxfId="87"/>
    <tableColumn id="6" xr3:uid="{E6C9B305-43C4-4AA9-AF99-52F226A2A489}" name="Year Resale Value" dataDxfId="86"/>
    <tableColumn id="7" xr3:uid="{53AB75B2-B4C7-4B08-A310-E333B5D08F1E}" name="Retention %" dataDxfId="85">
      <calculatedColumnFormula>SUM(E2/D2)</calculatedColumnFormula>
    </tableColumn>
    <tableColumn id="8" xr3:uid="{14C0ED08-C800-44FC-AEFF-AD4CB3BA4CE3}" name="Retention Value" dataDxfId="84">
      <calculatedColumnFormula>IF(F2&gt;69%, "GOOD", "POOR")</calculatedColumnFormula>
    </tableColumn>
    <tableColumn id="9" xr3:uid="{2D1C7A45-6CF4-4F66-812C-40A50CEEFE3C}" name="Engine Size" dataDxfId="83"/>
    <tableColumn id="10" xr3:uid="{6F868495-C5F3-4EB0-A931-7DB5EE263B04}" name="Horsepower" dataDxfId="82"/>
    <tableColumn id="11" xr3:uid="{21D8283C-331B-4FBC-ADCB-511EC8FEEA5B}" name="HP Level" dataDxfId="81">
      <calculatedColumnFormula array="1">_xlfn.IFS(I2&gt;299,"High HP",I2&gt;99,"Medium HP",I2&lt;100,"Low HP")</calculatedColumnFormula>
    </tableColumn>
    <tableColumn id="3" xr3:uid="{D8DD2294-3DBB-4222-BDE1-25B41E8C6E23}" name="Vehicle_type" dataDxfId="80"/>
    <tableColumn id="17" xr3:uid="{41974CDD-17C2-4811-8CA1-4FE62EF36874}" name="Fuel Efficiency" dataDxfId="79"/>
    <tableColumn id="19" xr3:uid="{FF974689-EC10-4BD7-931E-F6D2FC8A04BB}" name="Power Perf Factor" dataDxfId="78"/>
    <tableColumn id="16" xr3:uid="{A47D6D7B-55BF-4939-8425-7A7DC0E408AE}" name="Fuel Capacity" dataDxfId="77"/>
    <tableColumn id="12" xr3:uid="{59E0B2CA-E73A-4CDD-A62F-F1A4C75E90F7}" name="Wheelbase" dataDxfId="76"/>
    <tableColumn id="13" xr3:uid="{1318511A-327E-4603-9CFA-8A67BC21BEB8}" name="Width" dataDxfId="75"/>
    <tableColumn id="14" xr3:uid="{B48108FE-8EF4-43AB-ACEA-F7B30A9D3C55}" name="Length" dataDxfId="74"/>
    <tableColumn id="15" xr3:uid="{1C70CD07-6AE4-4D29-95C6-1D02DF8772F3}" name="Curb Weight" dataDxfId="73"/>
    <tableColumn id="18" xr3:uid="{801588FA-173B-403F-BAF7-D1F66FFF62EA}" name="Latest Launch" dataDxfId="72"/>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topLeftCell="A38" zoomScaleNormal="100" workbookViewId="0">
      <selection activeCell="F1" sqref="F1"/>
    </sheetView>
  </sheetViews>
  <sheetFormatPr baseColWidth="10" defaultColWidth="9.1640625" defaultRowHeight="15" x14ac:dyDescent="0.2"/>
  <cols>
    <col min="1" max="1" width="15.33203125" customWidth="1"/>
    <col min="2" max="2" width="15.5" bestFit="1" customWidth="1"/>
    <col min="3" max="3" width="20.5" bestFit="1" customWidth="1"/>
    <col min="4" max="4" width="12.6640625" style="9" customWidth="1"/>
    <col min="5" max="5" width="19.5" bestFit="1" customWidth="1"/>
    <col min="6" max="6" width="14" customWidth="1"/>
    <col min="7" max="7" width="17.5" customWidth="1"/>
    <col min="8" max="8" width="13.1640625" customWidth="1"/>
    <col min="9" max="9" width="14" customWidth="1"/>
    <col min="10" max="10" width="11.83203125" customWidth="1"/>
    <col min="11" max="11" width="14.83203125" customWidth="1"/>
    <col min="12" max="12" width="14.6640625" customWidth="1"/>
    <col min="13" max="13" width="17.83203125" customWidth="1"/>
    <col min="14" max="14" width="11" customWidth="1"/>
    <col min="15" max="15" width="6.5" customWidth="1"/>
    <col min="16" max="16" width="7" customWidth="1"/>
    <col min="17" max="17" width="12.33203125" customWidth="1"/>
    <col min="18" max="18" width="13.1640625" customWidth="1"/>
    <col min="19" max="19" width="13.5" customWidth="1"/>
    <col min="20" max="22" width="8.83203125"/>
    <col min="23" max="23" width="11.33203125" bestFit="1" customWidth="1"/>
    <col min="24" max="24" width="7.5" bestFit="1" customWidth="1"/>
    <col min="25" max="25" width="11.5" bestFit="1" customWidth="1"/>
    <col min="26" max="26" width="7.83203125" bestFit="1" customWidth="1"/>
    <col min="27" max="27" width="16.5" bestFit="1" customWidth="1"/>
  </cols>
  <sheetData>
    <row r="1" spans="1:23" s="1" customFormat="1" x14ac:dyDescent="0.2">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2">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2">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2">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2">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2">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2">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2">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2">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2">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2">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2">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2">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2">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2">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2">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2">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2">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2">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2">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2">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2">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2">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2">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2">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2">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2">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2">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2">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2">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2">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2">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2">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2">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2">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2">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2">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2">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2">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2">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2">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2">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2">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2">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2">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2">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2">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2">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2">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2">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2">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2">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2">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2">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2">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2">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2">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2">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2">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2">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2">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2">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2">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2">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2">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2">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2">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2">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2">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2">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2">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2">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2">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2">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2">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2">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2">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2">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2">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2">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2">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2">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2">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2">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2">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2">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2">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2">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2">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2">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2">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2">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2">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2">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2">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2">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2">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2">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2">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2">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2">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2">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2">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2">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2">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2">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2">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2">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2">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2">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2">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2">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2">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2">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2">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2">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2">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2">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2">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2">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2">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2">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2">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2">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2">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2">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2">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2">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2">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2">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2">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2">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2">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2">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2">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2">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2">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2">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2">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2">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2">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2">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2">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2">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2">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2">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2">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2">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2">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2">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2">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2">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2">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2">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2">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2">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71" priority="3" operator="containsText" text="POOR">
      <formula>NOT(ISERROR(SEARCH("POOR",G2)))</formula>
    </cfRule>
    <cfRule type="containsText" dxfId="70"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T26" sqref="T26"/>
    </sheetView>
  </sheetViews>
  <sheetFormatPr baseColWidth="10" defaultColWidth="8.83203125" defaultRowHeight="15" x14ac:dyDescent="0.2"/>
  <cols>
    <col min="1" max="1" width="12.5" bestFit="1" customWidth="1"/>
    <col min="2" max="2" width="23.6640625" style="17" bestFit="1" customWidth="1"/>
    <col min="3" max="3" width="13.6640625" style="17" bestFit="1" customWidth="1"/>
    <col min="4" max="4" width="23.8320312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3" spans="1:3" x14ac:dyDescent="0.2">
      <c r="A3" s="15" t="s">
        <v>205</v>
      </c>
      <c r="B3" s="17" t="s">
        <v>206</v>
      </c>
      <c r="C3" s="17" t="s">
        <v>207</v>
      </c>
    </row>
    <row r="4" spans="1:3" x14ac:dyDescent="0.2">
      <c r="A4" s="16" t="s">
        <v>24</v>
      </c>
      <c r="B4" s="17">
        <v>28270</v>
      </c>
      <c r="C4" s="17">
        <v>39980</v>
      </c>
    </row>
    <row r="5" spans="1:3" x14ac:dyDescent="0.2">
      <c r="A5" s="16" t="s">
        <v>28</v>
      </c>
      <c r="B5" s="17">
        <v>29766.666666666668</v>
      </c>
      <c r="C5" s="17">
        <v>33096.666666666664</v>
      </c>
    </row>
    <row r="6" spans="1:3" x14ac:dyDescent="0.2">
      <c r="A6" s="16" t="s">
        <v>129</v>
      </c>
      <c r="B6" s="17">
        <v>39876.555555555555</v>
      </c>
      <c r="C6" s="17">
        <v>52916.666666666664</v>
      </c>
    </row>
    <row r="7" spans="1:3" x14ac:dyDescent="0.2">
      <c r="A7" s="16" t="s">
        <v>165</v>
      </c>
      <c r="B7" s="17">
        <v>56475</v>
      </c>
      <c r="C7" s="17">
        <v>62473.333333333336</v>
      </c>
    </row>
    <row r="8" spans="1:3" x14ac:dyDescent="0.2">
      <c r="A8" s="16" t="s">
        <v>191</v>
      </c>
      <c r="B8" s="17">
        <v>13951.833333333334</v>
      </c>
      <c r="C8" s="17">
        <v>17698.333333333332</v>
      </c>
    </row>
    <row r="9" spans="1:3" x14ac:dyDescent="0.2">
      <c r="A9" s="16" t="s">
        <v>208</v>
      </c>
      <c r="B9" s="17">
        <v>32755.625</v>
      </c>
      <c r="C9" s="17">
        <v>41212.083333333336</v>
      </c>
    </row>
    <row r="10" spans="1:3" x14ac:dyDescent="0.2">
      <c r="B10"/>
      <c r="C10"/>
    </row>
    <row r="11" spans="1:3" x14ac:dyDescent="0.2">
      <c r="B11"/>
      <c r="C11"/>
    </row>
    <row r="12" spans="1:3" x14ac:dyDescent="0.2">
      <c r="B12"/>
      <c r="C12"/>
    </row>
    <row r="13" spans="1:3" x14ac:dyDescent="0.2">
      <c r="B13"/>
      <c r="C13"/>
    </row>
    <row r="14" spans="1:3" x14ac:dyDescent="0.2">
      <c r="B14"/>
      <c r="C14"/>
    </row>
    <row r="15" spans="1:3" x14ac:dyDescent="0.2">
      <c r="B15"/>
      <c r="C15"/>
    </row>
    <row r="16" spans="1:3" x14ac:dyDescent="0.2">
      <c r="B16"/>
      <c r="C16"/>
    </row>
    <row r="17" spans="2:3" x14ac:dyDescent="0.2">
      <c r="B17"/>
      <c r="C17"/>
    </row>
    <row r="18" spans="2:3" x14ac:dyDescent="0.2">
      <c r="B18"/>
      <c r="C18"/>
    </row>
    <row r="19" spans="2:3" x14ac:dyDescent="0.2">
      <c r="B19"/>
      <c r="C19"/>
    </row>
    <row r="20" spans="2:3" x14ac:dyDescent="0.2">
      <c r="B20"/>
      <c r="C20"/>
    </row>
    <row r="21" spans="2:3" x14ac:dyDescent="0.2">
      <c r="B21"/>
      <c r="C21"/>
    </row>
    <row r="22" spans="2:3" x14ac:dyDescent="0.2">
      <c r="B22"/>
      <c r="C22"/>
    </row>
    <row r="23" spans="2:3" x14ac:dyDescent="0.2">
      <c r="B23"/>
      <c r="C23"/>
    </row>
    <row r="24" spans="2:3" x14ac:dyDescent="0.2">
      <c r="B24"/>
      <c r="C24"/>
    </row>
    <row r="25" spans="2:3" x14ac:dyDescent="0.2">
      <c r="B25"/>
      <c r="C25"/>
    </row>
    <row r="26" spans="2:3" x14ac:dyDescent="0.2">
      <c r="B26"/>
      <c r="C26"/>
    </row>
    <row r="27" spans="2:3" x14ac:dyDescent="0.2">
      <c r="B27"/>
      <c r="C27"/>
    </row>
    <row r="28" spans="2:3" x14ac:dyDescent="0.2">
      <c r="B28"/>
      <c r="C28"/>
    </row>
    <row r="29" spans="2:3" x14ac:dyDescent="0.2">
      <c r="B29"/>
      <c r="C29"/>
    </row>
    <row r="30" spans="2:3" x14ac:dyDescent="0.2">
      <c r="B30"/>
      <c r="C30"/>
    </row>
    <row r="31" spans="2:3" x14ac:dyDescent="0.2">
      <c r="B31"/>
      <c r="C31"/>
    </row>
    <row r="32" spans="2:3" x14ac:dyDescent="0.2">
      <c r="B32"/>
      <c r="C32"/>
    </row>
    <row r="33" spans="2:3" x14ac:dyDescent="0.2">
      <c r="B33"/>
      <c r="C33"/>
    </row>
    <row r="34" spans="2:3" x14ac:dyDescent="0.2">
      <c r="B34"/>
      <c r="C34"/>
    </row>
    <row r="35" spans="2:3" x14ac:dyDescent="0.2">
      <c r="B35"/>
      <c r="C35"/>
    </row>
    <row r="36" spans="2:3" x14ac:dyDescent="0.2">
      <c r="B36"/>
      <c r="C36"/>
    </row>
    <row r="37" spans="2:3" x14ac:dyDescent="0.2">
      <c r="B37"/>
      <c r="C37"/>
    </row>
    <row r="38" spans="2:3" x14ac:dyDescent="0.2">
      <c r="B38"/>
      <c r="C38"/>
    </row>
    <row r="39" spans="2:3" x14ac:dyDescent="0.2">
      <c r="B39"/>
      <c r="C39"/>
    </row>
    <row r="40" spans="2:3" x14ac:dyDescent="0.2">
      <c r="B40"/>
      <c r="C40"/>
    </row>
    <row r="41" spans="2:3" x14ac:dyDescent="0.2">
      <c r="B41"/>
      <c r="C41"/>
    </row>
    <row r="42" spans="2:3" x14ac:dyDescent="0.2">
      <c r="B42"/>
      <c r="C42"/>
    </row>
    <row r="43" spans="2:3" x14ac:dyDescent="0.2">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57" zoomScaleNormal="100" workbookViewId="0">
      <selection activeCell="K181" sqref="K181"/>
    </sheetView>
  </sheetViews>
  <sheetFormatPr baseColWidth="10" defaultColWidth="9.1640625" defaultRowHeight="15" x14ac:dyDescent="0.2"/>
  <cols>
    <col min="1" max="1" width="15.33203125" customWidth="1"/>
    <col min="2" max="2" width="15.5" bestFit="1" customWidth="1"/>
    <col min="3" max="3" width="20.5" bestFit="1" customWidth="1"/>
    <col min="4" max="4" width="12.6640625" style="9" customWidth="1"/>
    <col min="5" max="5" width="19.5" bestFit="1" customWidth="1"/>
    <col min="6" max="6" width="14" customWidth="1"/>
    <col min="7" max="7" width="17.5" customWidth="1"/>
    <col min="8" max="8" width="13.1640625" customWidth="1"/>
    <col min="9" max="9" width="14" customWidth="1"/>
    <col min="10" max="10" width="11.83203125" customWidth="1"/>
    <col min="11" max="11" width="14.83203125" customWidth="1"/>
    <col min="12" max="12" width="14.6640625" customWidth="1"/>
    <col min="13" max="13" width="17.83203125" customWidth="1"/>
    <col min="14" max="14" width="13.1640625" hidden="1" customWidth="1"/>
    <col min="15" max="15" width="11" hidden="1" customWidth="1"/>
    <col min="16" max="16" width="6.5" hidden="1" customWidth="1"/>
    <col min="17" max="17" width="7" hidden="1" customWidth="1"/>
    <col min="18" max="18" width="12.33203125" hidden="1" customWidth="1"/>
    <col min="19" max="19" width="13.5" hidden="1" customWidth="1"/>
    <col min="23" max="23" width="11.33203125" bestFit="1" customWidth="1"/>
    <col min="24" max="24" width="7.5" bestFit="1" customWidth="1"/>
    <col min="25" max="25" width="11.5" bestFit="1" customWidth="1"/>
    <col min="26" max="26" width="7.83203125" bestFit="1" customWidth="1"/>
    <col min="27" max="27" width="16.5" bestFit="1" customWidth="1"/>
  </cols>
  <sheetData>
    <row r="1" spans="1:23" s="1" customFormat="1" x14ac:dyDescent="0.2">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2">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2">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2">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2">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2">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2">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2">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2">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2">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2">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2">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2">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2">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2">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2">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2">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2">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2">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2">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2">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2">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2">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2">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2">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2">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2">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2">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2">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2">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2">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2">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2">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2">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2">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2">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2">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2">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2">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2">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2">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2">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2">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2">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2">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2">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2">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2">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2">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2">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2">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2">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2">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2">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2">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2">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2">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2">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2">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2">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2">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2">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2">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2">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2">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2">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2">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2">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2">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2">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2">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2">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2">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2">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2">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2">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2">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2">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2">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2">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2">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2">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2">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2">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2">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2">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2">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2">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2">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2">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2">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2">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2">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2">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2">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2">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2">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2">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2">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2">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2">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2">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2">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2">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2">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2">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2">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2">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2">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2">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2">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2">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2">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2">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2">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2">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2">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2">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2">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2">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2">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2">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2">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2">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2">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2">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2">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2">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2">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2">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2">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2">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2">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2">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2">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2">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2">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2">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2">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2">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2">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2">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x14ac:dyDescent="0.2">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x14ac:dyDescent="0.2">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2">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2">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2">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2">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2">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2">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2">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2">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2">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2">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2">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2">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69" priority="1" operator="containsText" text="POOR">
      <formula>NOT(ISERROR(SEARCH("POOR",G2)))</formula>
    </cfRule>
    <cfRule type="containsText" dxfId="68"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CE419-5D06-5245-9852-F9E59073A61C}">
  <dimension ref="A1"/>
  <sheetViews>
    <sheetView showGridLines="0" showRowColHeaders="0" tabSelected="1" workbookViewId="0">
      <selection activeCell="R24" sqref="R24"/>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Priyanka Vithani</cp:lastModifiedBy>
  <cp:revision/>
  <dcterms:created xsi:type="dcterms:W3CDTF">2020-05-21T14:49:04Z</dcterms:created>
  <dcterms:modified xsi:type="dcterms:W3CDTF">2026-07-19T20:54:00Z</dcterms:modified>
  <cp:category/>
  <cp:contentStatus/>
</cp:coreProperties>
</file>